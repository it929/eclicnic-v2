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a\OneDrive\Desktop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</calcChain>
</file>

<file path=xl/sharedStrings.xml><?xml version="1.0" encoding="utf-8"?>
<sst xmlns="http://schemas.openxmlformats.org/spreadsheetml/2006/main" count="173" uniqueCount="101">
  <si>
    <t>product_name</t>
  </si>
  <si>
    <t>product_id</t>
  </si>
  <si>
    <t>description</t>
  </si>
  <si>
    <t>price</t>
  </si>
  <si>
    <t>stock</t>
  </si>
  <si>
    <t>minimum_UoM</t>
  </si>
  <si>
    <t>low_stock_threshold</t>
  </si>
  <si>
    <t>manufacturing_date</t>
  </si>
  <si>
    <t>expiry_date</t>
  </si>
  <si>
    <t>expiry_flag_in</t>
  </si>
  <si>
    <t>expiry_flag_in_num</t>
  </si>
  <si>
    <t>weeks</t>
  </si>
  <si>
    <t>days</t>
  </si>
  <si>
    <t>Bottles</t>
  </si>
  <si>
    <t>Sachets</t>
  </si>
  <si>
    <t>Tubes</t>
  </si>
  <si>
    <t>Packs</t>
  </si>
  <si>
    <t>Vial</t>
  </si>
  <si>
    <t>Cartons</t>
  </si>
  <si>
    <t>Syringes</t>
  </si>
  <si>
    <t xml:space="preserve">20% MANNITOL </t>
  </si>
  <si>
    <t xml:space="preserve">10% MANNITOL </t>
  </si>
  <si>
    <t>AMOXIL CAP 500MG</t>
  </si>
  <si>
    <t>AMOXIL CAP 250MG</t>
  </si>
  <si>
    <t>AMOXIL DS 125MG</t>
  </si>
  <si>
    <t>AMOXIL DS 250MG</t>
  </si>
  <si>
    <t>ARTHROTEC  1TAB</t>
  </si>
  <si>
    <t>ATS VACCINE 1,500iu</t>
  </si>
  <si>
    <t>CALCIMAX 1PACK</t>
  </si>
  <si>
    <t>CELLGEVITY 30TABS</t>
  </si>
  <si>
    <t>CFXCLAV 1PACK</t>
  </si>
  <si>
    <t>CIPCOM 1PACK</t>
  </si>
  <si>
    <t>COGNITOL 1PACK</t>
  </si>
  <si>
    <t>CPZ 1TAB</t>
  </si>
  <si>
    <t>CUTENOX 1VIAL</t>
  </si>
  <si>
    <t>D KOFF 1 BOTTLE</t>
  </si>
  <si>
    <t>EBECOF 1 BOTTLE</t>
  </si>
  <si>
    <t>ZEDEX 1 BOTTLE</t>
  </si>
  <si>
    <t>CYTOTEC TAB 1 TAB</t>
  </si>
  <si>
    <t>EXFORGE 1TAB</t>
  </si>
  <si>
    <t>FILFENAC 1TAB</t>
  </si>
  <si>
    <t>FILGRATIS 1PACK</t>
  </si>
  <si>
    <t>IMODIUM 1PACK</t>
  </si>
  <si>
    <t>GASOL 1 BOTTLE</t>
  </si>
  <si>
    <t>JOBELYN CAP 1 CAP</t>
  </si>
  <si>
    <t>LEXOTAN TAB 3MG</t>
  </si>
  <si>
    <t>NOSPA TAB 1 TAB</t>
  </si>
  <si>
    <t>ORPHRESIC 1TAB</t>
  </si>
  <si>
    <t>ORS  SACHET</t>
  </si>
  <si>
    <t>P ALAXIN 1 PACK</t>
  </si>
  <si>
    <t>PACADON 1TAB</t>
  </si>
  <si>
    <t>PIROXICAM 1 TAB</t>
  </si>
  <si>
    <t>OVUMINE 1PACK</t>
  </si>
  <si>
    <t>PEPTIKIT 1PACK</t>
  </si>
  <si>
    <t>SUREX 1TAB</t>
  </si>
  <si>
    <t>TARANIC 1TAB</t>
  </si>
  <si>
    <t>TINIPRAX 1PCK</t>
  </si>
  <si>
    <t>VASOPRIN 1TAB</t>
  </si>
  <si>
    <t>XTAPEN 1MU</t>
  </si>
  <si>
    <t>ZINC TAB 1TAB</t>
  </si>
  <si>
    <t>for pregnancy</t>
  </si>
  <si>
    <t>55MT7</t>
  </si>
  <si>
    <t>55MT2</t>
  </si>
  <si>
    <t>X1021</t>
  </si>
  <si>
    <t>X1022</t>
  </si>
  <si>
    <t>X1023</t>
  </si>
  <si>
    <t>X1024</t>
  </si>
  <si>
    <t>H1037</t>
  </si>
  <si>
    <t>C1056</t>
  </si>
  <si>
    <t>L1072</t>
  </si>
  <si>
    <t>C1076</t>
  </si>
  <si>
    <t>C1088</t>
  </si>
  <si>
    <t>N1095</t>
  </si>
  <si>
    <t>E1097</t>
  </si>
  <si>
    <t>O1102</t>
  </si>
  <si>
    <t>C1103</t>
  </si>
  <si>
    <t>E1110</t>
  </si>
  <si>
    <t>O1111</t>
  </si>
  <si>
    <t>O1134</t>
  </si>
  <si>
    <t>F1137</t>
  </si>
  <si>
    <t>G1138</t>
  </si>
  <si>
    <t>D1163</t>
  </si>
  <si>
    <t>O1169</t>
  </si>
  <si>
    <t>E1170</t>
  </si>
  <si>
    <t>O1180</t>
  </si>
  <si>
    <t>P1215</t>
  </si>
  <si>
    <t>H1221</t>
  </si>
  <si>
    <t>L1225</t>
  </si>
  <si>
    <t>A1226</t>
  </si>
  <si>
    <t>O1227</t>
  </si>
  <si>
    <t>M1231</t>
  </si>
  <si>
    <t>T1238</t>
  </si>
  <si>
    <t>E1266</t>
  </si>
  <si>
    <t>A1268</t>
  </si>
  <si>
    <t>I1271</t>
  </si>
  <si>
    <t>O1279</t>
  </si>
  <si>
    <t>P1291</t>
  </si>
  <si>
    <t>C1292</t>
  </si>
  <si>
    <t>P1040</t>
  </si>
  <si>
    <t>H1096</t>
  </si>
  <si>
    <t>K1222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</si>
</sst>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B1" workbookViewId="0">
      <selection activeCell="E2" sqref="E2:E41"/>
    </sheetView>
  </sheetViews>
  <sheetFormatPr defaultRowHeight="14.5" x14ac:dyDescent="0.35"/>
  <cols>
    <col min="1" max="1" width="39.26953125" bestFit="1" customWidth="1"/>
    <col min="2" max="2" width="9.90625" bestFit="1" customWidth="1"/>
    <col min="3" max="3" width="10.08984375" bestFit="1" customWidth="1"/>
    <col min="6" max="6" width="14" bestFit="1" customWidth="1"/>
    <col min="7" max="7" width="18.26953125" bestFit="1" customWidth="1"/>
    <col min="8" max="8" width="17.90625" bestFit="1" customWidth="1"/>
    <col min="9" max="9" width="10.6328125" bestFit="1" customWidth="1"/>
    <col min="10" max="10" width="17.453125" bestFit="1" customWidth="1"/>
    <col min="11" max="11" width="14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35">
      <c r="A2" t="s">
        <v>20</v>
      </c>
      <c r="B2" t="s">
        <v>61</v>
      </c>
      <c r="C2" t="s">
        <v>60</v>
      </c>
      <c r="D2">
        <v>1000</v>
      </c>
      <c r="E2">
        <v>5</v>
      </c>
      <c r="F2" t="s">
        <v>15</v>
      </c>
      <c r="G2">
        <v>13</v>
      </c>
      <c r="H2" t="str">
        <f t="shared" ref="H2:H3" si="0">TEXT("2025-08-20","YYYY-MM-DD")</f>
        <v>2025-08-20</v>
      </c>
      <c r="I2" t="str">
        <f t="shared" ref="I2:I3" si="1">TEXT("2025-09-29","YYYY-MM-DD")</f>
        <v>2025-09-29</v>
      </c>
      <c r="J2">
        <v>11</v>
      </c>
      <c r="K2" t="s">
        <v>12</v>
      </c>
    </row>
    <row r="3" spans="1:11" x14ac:dyDescent="0.35">
      <c r="A3" t="s">
        <v>21</v>
      </c>
      <c r="B3" t="s">
        <v>62</v>
      </c>
      <c r="C3" t="s">
        <v>60</v>
      </c>
      <c r="D3">
        <v>1000</v>
      </c>
      <c r="E3">
        <v>5</v>
      </c>
      <c r="F3" t="s">
        <v>16</v>
      </c>
      <c r="G3">
        <v>10</v>
      </c>
      <c r="H3" t="str">
        <f t="shared" si="0"/>
        <v>2025-08-20</v>
      </c>
      <c r="I3" t="str">
        <f t="shared" si="1"/>
        <v>2025-09-29</v>
      </c>
      <c r="J3">
        <v>6</v>
      </c>
      <c r="K3" t="s">
        <v>11</v>
      </c>
    </row>
    <row r="4" spans="1:11" x14ac:dyDescent="0.35">
      <c r="A4" t="s">
        <v>22</v>
      </c>
      <c r="B4" t="s">
        <v>63</v>
      </c>
      <c r="D4">
        <v>4000</v>
      </c>
      <c r="E4">
        <v>5</v>
      </c>
      <c r="F4" t="s">
        <v>16</v>
      </c>
      <c r="G4">
        <v>5</v>
      </c>
      <c r="H4" t="str">
        <f t="shared" ref="H4:H6" si="2">TEXT("2025-12-20","YYYY-MM-DD")</f>
        <v>2025-12-20</v>
      </c>
      <c r="I4" t="str">
        <f t="shared" ref="I4:I6" si="3">TEXT("2026-01-12","YYYY-MM-DD")</f>
        <v>2026-01-12</v>
      </c>
      <c r="J4">
        <v>8</v>
      </c>
      <c r="K4" t="s">
        <v>11</v>
      </c>
    </row>
    <row r="5" spans="1:11" x14ac:dyDescent="0.35">
      <c r="A5" t="s">
        <v>23</v>
      </c>
      <c r="B5" t="s">
        <v>64</v>
      </c>
      <c r="D5">
        <v>1000</v>
      </c>
      <c r="E5">
        <v>5</v>
      </c>
      <c r="F5" t="s">
        <v>16</v>
      </c>
      <c r="G5">
        <v>5</v>
      </c>
      <c r="H5" t="str">
        <f t="shared" si="2"/>
        <v>2025-12-20</v>
      </c>
      <c r="I5" t="str">
        <f t="shared" si="3"/>
        <v>2026-01-12</v>
      </c>
      <c r="J5">
        <v>2</v>
      </c>
      <c r="K5" t="s">
        <v>11</v>
      </c>
    </row>
    <row r="6" spans="1:11" x14ac:dyDescent="0.35">
      <c r="A6" t="s">
        <v>24</v>
      </c>
      <c r="B6" t="s">
        <v>65</v>
      </c>
      <c r="D6">
        <v>1500</v>
      </c>
      <c r="E6">
        <v>5</v>
      </c>
      <c r="F6" t="s">
        <v>18</v>
      </c>
      <c r="G6">
        <v>5</v>
      </c>
      <c r="H6" t="str">
        <f t="shared" si="2"/>
        <v>2025-12-20</v>
      </c>
      <c r="I6" t="str">
        <f t="shared" si="3"/>
        <v>2026-01-12</v>
      </c>
      <c r="J6">
        <v>13</v>
      </c>
      <c r="K6" t="s">
        <v>12</v>
      </c>
    </row>
    <row r="7" spans="1:11" x14ac:dyDescent="0.35">
      <c r="A7" t="s">
        <v>25</v>
      </c>
      <c r="B7" t="s">
        <v>66</v>
      </c>
      <c r="D7">
        <v>800</v>
      </c>
      <c r="E7">
        <v>5</v>
      </c>
      <c r="F7" t="s">
        <v>19</v>
      </c>
      <c r="G7">
        <v>6</v>
      </c>
      <c r="H7" t="str">
        <f>TEXT("2025-12-12","YYYY-MM-DD")</f>
        <v>2025-12-12</v>
      </c>
      <c r="I7" t="str">
        <f>TEXT("2026-05-20","YYYY-MM-DD")</f>
        <v>2026-05-20</v>
      </c>
      <c r="J7">
        <v>3</v>
      </c>
      <c r="K7" t="s">
        <v>11</v>
      </c>
    </row>
    <row r="8" spans="1:11" x14ac:dyDescent="0.35">
      <c r="A8" t="s">
        <v>26</v>
      </c>
      <c r="B8" t="s">
        <v>67</v>
      </c>
      <c r="D8">
        <v>60</v>
      </c>
      <c r="E8">
        <v>5</v>
      </c>
      <c r="F8" t="s">
        <v>16</v>
      </c>
      <c r="G8">
        <v>5</v>
      </c>
      <c r="H8" t="str">
        <f t="shared" ref="H8:H9" si="4">TEXT("2025-12-12","YYYY-MM-DD")</f>
        <v>2025-12-12</v>
      </c>
      <c r="I8" t="str">
        <f t="shared" ref="I8:I9" si="5">TEXT("2026-05-20","YYYY-MM-DD")</f>
        <v>2026-05-20</v>
      </c>
      <c r="J8">
        <v>2</v>
      </c>
      <c r="K8" t="s">
        <v>11</v>
      </c>
    </row>
    <row r="9" spans="1:11" x14ac:dyDescent="0.35">
      <c r="A9" t="s">
        <v>27</v>
      </c>
      <c r="B9" t="s">
        <v>98</v>
      </c>
      <c r="D9">
        <v>100</v>
      </c>
      <c r="E9">
        <v>5</v>
      </c>
      <c r="F9" t="s">
        <v>18</v>
      </c>
      <c r="G9">
        <v>10</v>
      </c>
      <c r="H9" t="str">
        <f t="shared" si="4"/>
        <v>2025-12-12</v>
      </c>
      <c r="I9" t="str">
        <f t="shared" si="5"/>
        <v>2026-05-20</v>
      </c>
      <c r="J9">
        <v>2</v>
      </c>
      <c r="K9" t="s">
        <v>12</v>
      </c>
    </row>
    <row r="10" spans="1:11" x14ac:dyDescent="0.35">
      <c r="A10" t="s">
        <v>28</v>
      </c>
      <c r="B10" t="s">
        <v>68</v>
      </c>
      <c r="D10">
        <v>10000</v>
      </c>
      <c r="E10">
        <v>5</v>
      </c>
      <c r="F10" t="s">
        <v>19</v>
      </c>
      <c r="G10">
        <v>10</v>
      </c>
      <c r="H10" t="str">
        <f t="shared" ref="H10" si="6">TEXT("2025-08-20","YYYY-MM-DD")</f>
        <v>2025-08-20</v>
      </c>
      <c r="I10" t="str">
        <f t="shared" ref="I10" si="7">TEXT("2025-09-29","YYYY-MM-DD")</f>
        <v>2025-09-29</v>
      </c>
      <c r="J10">
        <v>3</v>
      </c>
      <c r="K10" t="s">
        <v>11</v>
      </c>
    </row>
    <row r="11" spans="1:11" x14ac:dyDescent="0.35">
      <c r="A11" t="s">
        <v>29</v>
      </c>
      <c r="B11" t="s">
        <v>69</v>
      </c>
      <c r="D11">
        <v>2000</v>
      </c>
      <c r="E11">
        <v>5</v>
      </c>
      <c r="F11" t="s">
        <v>13</v>
      </c>
      <c r="G11">
        <v>15</v>
      </c>
      <c r="H11" t="str">
        <f t="shared" ref="H11:H12" si="8">TEXT("2025-12-20","YYYY-MM-DD")</f>
        <v>2025-12-20</v>
      </c>
      <c r="I11" t="str">
        <f t="shared" ref="I11:I12" si="9">TEXT("2026-01-12","YYYY-MM-DD")</f>
        <v>2026-01-12</v>
      </c>
      <c r="J11">
        <v>1</v>
      </c>
      <c r="K11" t="s">
        <v>11</v>
      </c>
    </row>
    <row r="12" spans="1:11" x14ac:dyDescent="0.35">
      <c r="A12" t="s">
        <v>30</v>
      </c>
      <c r="B12" t="s">
        <v>70</v>
      </c>
      <c r="D12">
        <v>1200</v>
      </c>
      <c r="E12">
        <v>5</v>
      </c>
      <c r="F12" t="s">
        <v>16</v>
      </c>
      <c r="G12">
        <v>5</v>
      </c>
      <c r="H12" t="str">
        <f t="shared" si="8"/>
        <v>2025-12-20</v>
      </c>
      <c r="I12" t="str">
        <f t="shared" si="9"/>
        <v>2026-01-12</v>
      </c>
      <c r="J12">
        <v>3</v>
      </c>
      <c r="K12" t="s">
        <v>11</v>
      </c>
    </row>
    <row r="13" spans="1:11" x14ac:dyDescent="0.35">
      <c r="A13" t="s">
        <v>31</v>
      </c>
      <c r="B13" t="s">
        <v>71</v>
      </c>
      <c r="D13">
        <v>1000</v>
      </c>
      <c r="E13">
        <v>5</v>
      </c>
      <c r="F13" t="s">
        <v>14</v>
      </c>
      <c r="G13">
        <v>10</v>
      </c>
      <c r="H13" t="str">
        <f t="shared" ref="H13:H20" si="10">TEXT("2025-12-12","YYYY-MM-DD")</f>
        <v>2025-12-12</v>
      </c>
      <c r="I13" t="str">
        <f t="shared" ref="I13:I20" si="11">TEXT("2026-05-20","YYYY-MM-DD")</f>
        <v>2026-05-20</v>
      </c>
      <c r="J13">
        <v>2</v>
      </c>
      <c r="K13" t="s">
        <v>12</v>
      </c>
    </row>
    <row r="14" spans="1:11" x14ac:dyDescent="0.35">
      <c r="A14" t="s">
        <v>32</v>
      </c>
      <c r="B14" t="s">
        <v>72</v>
      </c>
      <c r="D14">
        <v>250</v>
      </c>
      <c r="E14">
        <v>5</v>
      </c>
      <c r="F14" t="s">
        <v>19</v>
      </c>
      <c r="G14">
        <v>7</v>
      </c>
      <c r="H14" t="str">
        <f t="shared" si="10"/>
        <v>2025-12-12</v>
      </c>
      <c r="I14" t="str">
        <f t="shared" si="11"/>
        <v>2026-05-20</v>
      </c>
      <c r="J14">
        <v>11</v>
      </c>
      <c r="K14" t="s">
        <v>12</v>
      </c>
    </row>
    <row r="15" spans="1:11" x14ac:dyDescent="0.35">
      <c r="A15" t="s">
        <v>33</v>
      </c>
      <c r="B15" t="s">
        <v>99</v>
      </c>
      <c r="D15">
        <v>4500</v>
      </c>
      <c r="E15">
        <v>5</v>
      </c>
      <c r="F15" t="s">
        <v>16</v>
      </c>
      <c r="G15">
        <v>5</v>
      </c>
      <c r="H15" t="str">
        <f t="shared" si="10"/>
        <v>2025-12-12</v>
      </c>
      <c r="I15" t="str">
        <f t="shared" si="11"/>
        <v>2026-05-20</v>
      </c>
      <c r="J15">
        <v>8</v>
      </c>
      <c r="K15" t="s">
        <v>11</v>
      </c>
    </row>
    <row r="16" spans="1:11" x14ac:dyDescent="0.35">
      <c r="A16" t="s">
        <v>34</v>
      </c>
      <c r="B16" t="s">
        <v>73</v>
      </c>
      <c r="D16">
        <v>200</v>
      </c>
      <c r="E16">
        <v>5</v>
      </c>
      <c r="F16" t="s">
        <v>16</v>
      </c>
      <c r="G16">
        <v>5</v>
      </c>
      <c r="H16" t="str">
        <f t="shared" si="10"/>
        <v>2025-12-12</v>
      </c>
      <c r="I16" t="str">
        <f t="shared" si="11"/>
        <v>2026-05-20</v>
      </c>
      <c r="J16">
        <v>2</v>
      </c>
      <c r="K16" t="s">
        <v>11</v>
      </c>
    </row>
    <row r="17" spans="1:11" x14ac:dyDescent="0.35">
      <c r="A17" t="s">
        <v>35</v>
      </c>
      <c r="B17" t="s">
        <v>74</v>
      </c>
      <c r="D17">
        <v>60</v>
      </c>
      <c r="E17">
        <v>5</v>
      </c>
      <c r="F17" t="s">
        <v>13</v>
      </c>
      <c r="G17">
        <v>15</v>
      </c>
      <c r="H17" t="str">
        <f t="shared" si="10"/>
        <v>2025-12-12</v>
      </c>
      <c r="I17" t="str">
        <f t="shared" si="11"/>
        <v>2026-05-20</v>
      </c>
      <c r="J17">
        <v>1</v>
      </c>
      <c r="K17" t="s">
        <v>11</v>
      </c>
    </row>
    <row r="18" spans="1:11" x14ac:dyDescent="0.35">
      <c r="A18" t="s">
        <v>36</v>
      </c>
      <c r="B18" t="s">
        <v>75</v>
      </c>
      <c r="D18">
        <v>500</v>
      </c>
      <c r="E18">
        <v>5</v>
      </c>
      <c r="F18" t="s">
        <v>14</v>
      </c>
      <c r="G18">
        <v>10</v>
      </c>
      <c r="H18" t="str">
        <f t="shared" si="10"/>
        <v>2025-12-12</v>
      </c>
      <c r="I18" t="str">
        <f t="shared" si="11"/>
        <v>2026-05-20</v>
      </c>
      <c r="J18">
        <v>2</v>
      </c>
      <c r="K18" t="s">
        <v>12</v>
      </c>
    </row>
    <row r="19" spans="1:11" x14ac:dyDescent="0.35">
      <c r="A19" t="s">
        <v>37</v>
      </c>
      <c r="B19" t="s">
        <v>76</v>
      </c>
      <c r="D19">
        <v>500</v>
      </c>
      <c r="E19">
        <v>5</v>
      </c>
      <c r="F19" t="s">
        <v>19</v>
      </c>
      <c r="G19">
        <v>7</v>
      </c>
      <c r="H19" t="str">
        <f t="shared" si="10"/>
        <v>2025-12-12</v>
      </c>
      <c r="I19" t="str">
        <f t="shared" si="11"/>
        <v>2026-05-20</v>
      </c>
      <c r="J19">
        <v>11</v>
      </c>
      <c r="K19" t="s">
        <v>12</v>
      </c>
    </row>
    <row r="20" spans="1:11" x14ac:dyDescent="0.35">
      <c r="A20" t="s">
        <v>38</v>
      </c>
      <c r="B20" t="s">
        <v>77</v>
      </c>
      <c r="D20">
        <v>50</v>
      </c>
      <c r="E20">
        <v>5</v>
      </c>
      <c r="F20" t="s">
        <v>16</v>
      </c>
      <c r="G20">
        <v>5</v>
      </c>
      <c r="H20" t="str">
        <f t="shared" si="10"/>
        <v>2025-12-12</v>
      </c>
      <c r="I20" t="str">
        <f t="shared" si="11"/>
        <v>2026-05-20</v>
      </c>
      <c r="J20">
        <v>8</v>
      </c>
      <c r="K20" t="s">
        <v>11</v>
      </c>
    </row>
    <row r="21" spans="1:11" x14ac:dyDescent="0.35">
      <c r="A21" t="s">
        <v>39</v>
      </c>
      <c r="B21" t="s">
        <v>78</v>
      </c>
      <c r="D21">
        <v>500</v>
      </c>
      <c r="E21">
        <v>5</v>
      </c>
      <c r="F21" t="s">
        <v>15</v>
      </c>
      <c r="G21">
        <v>13</v>
      </c>
      <c r="H21" t="str">
        <f t="shared" ref="H21:H23" si="12">TEXT("2025-12-20","YYYY-MM-DD")</f>
        <v>2025-12-20</v>
      </c>
      <c r="I21" t="str">
        <f t="shared" ref="I21:I26" si="13">TEXT("2026-07-20","YYYY-MM-DD")</f>
        <v>2026-07-20</v>
      </c>
      <c r="J21">
        <v>11</v>
      </c>
      <c r="K21" t="s">
        <v>12</v>
      </c>
    </row>
    <row r="22" spans="1:11" x14ac:dyDescent="0.35">
      <c r="A22" t="s">
        <v>40</v>
      </c>
      <c r="B22" t="s">
        <v>79</v>
      </c>
      <c r="D22">
        <v>60</v>
      </c>
      <c r="E22">
        <v>5</v>
      </c>
      <c r="F22" t="s">
        <v>17</v>
      </c>
      <c r="G22">
        <v>5</v>
      </c>
      <c r="H22" t="str">
        <f t="shared" si="12"/>
        <v>2025-12-20</v>
      </c>
      <c r="I22" t="str">
        <f t="shared" si="13"/>
        <v>2026-07-20</v>
      </c>
      <c r="J22">
        <v>4</v>
      </c>
      <c r="K22" t="s">
        <v>12</v>
      </c>
    </row>
    <row r="23" spans="1:11" x14ac:dyDescent="0.35">
      <c r="A23" t="s">
        <v>41</v>
      </c>
      <c r="B23" t="s">
        <v>80</v>
      </c>
      <c r="D23">
        <v>1000</v>
      </c>
      <c r="E23">
        <v>5</v>
      </c>
      <c r="F23" t="s">
        <v>19</v>
      </c>
      <c r="G23">
        <v>5</v>
      </c>
      <c r="H23" t="str">
        <f t="shared" si="12"/>
        <v>2025-12-20</v>
      </c>
      <c r="I23" t="str">
        <f t="shared" si="13"/>
        <v>2026-07-20</v>
      </c>
      <c r="J23">
        <v>5</v>
      </c>
      <c r="K23" t="s">
        <v>11</v>
      </c>
    </row>
    <row r="24" spans="1:11" x14ac:dyDescent="0.35">
      <c r="A24" t="s">
        <v>42</v>
      </c>
      <c r="B24" t="s">
        <v>81</v>
      </c>
      <c r="D24">
        <v>25000</v>
      </c>
      <c r="E24">
        <v>5</v>
      </c>
      <c r="F24" t="s">
        <v>14</v>
      </c>
      <c r="G24">
        <v>10</v>
      </c>
      <c r="H24" t="str">
        <f t="shared" ref="H24:H26" si="14">TEXT("2025-12-12","YYYY-MM-DD")</f>
        <v>2025-12-12</v>
      </c>
      <c r="I24" t="str">
        <f t="shared" si="13"/>
        <v>2026-07-20</v>
      </c>
      <c r="J24">
        <v>2</v>
      </c>
      <c r="K24" t="s">
        <v>12</v>
      </c>
    </row>
    <row r="25" spans="1:11" x14ac:dyDescent="0.35">
      <c r="A25" t="s">
        <v>43</v>
      </c>
      <c r="B25" t="s">
        <v>82</v>
      </c>
      <c r="D25">
        <v>25000</v>
      </c>
      <c r="E25">
        <v>5</v>
      </c>
      <c r="F25" t="s">
        <v>15</v>
      </c>
      <c r="G25">
        <v>7</v>
      </c>
      <c r="H25" t="str">
        <f t="shared" si="14"/>
        <v>2025-12-12</v>
      </c>
      <c r="I25" t="str">
        <f t="shared" si="13"/>
        <v>2026-07-20</v>
      </c>
      <c r="J25">
        <v>4</v>
      </c>
      <c r="K25" t="s">
        <v>11</v>
      </c>
    </row>
    <row r="26" spans="1:11" x14ac:dyDescent="0.35">
      <c r="A26" t="s">
        <v>44</v>
      </c>
      <c r="B26" t="s">
        <v>83</v>
      </c>
      <c r="D26">
        <v>15000</v>
      </c>
      <c r="E26">
        <v>5</v>
      </c>
      <c r="F26" t="s">
        <v>19</v>
      </c>
      <c r="G26">
        <v>7</v>
      </c>
      <c r="H26" t="str">
        <f t="shared" si="14"/>
        <v>2025-12-12</v>
      </c>
      <c r="I26" t="str">
        <f t="shared" si="13"/>
        <v>2026-07-20</v>
      </c>
      <c r="J26">
        <v>11</v>
      </c>
      <c r="K26" t="s">
        <v>12</v>
      </c>
    </row>
    <row r="27" spans="1:11" x14ac:dyDescent="0.35">
      <c r="A27" t="s">
        <v>45</v>
      </c>
      <c r="B27" t="s">
        <v>84</v>
      </c>
      <c r="D27">
        <v>200</v>
      </c>
      <c r="E27">
        <v>5</v>
      </c>
      <c r="F27" t="s">
        <v>16</v>
      </c>
      <c r="G27">
        <v>5</v>
      </c>
      <c r="H27" t="str">
        <f t="shared" ref="H27" si="15">TEXT("2025-08-20","YYYY-MM-DD")</f>
        <v>2025-08-20</v>
      </c>
      <c r="I27" t="str">
        <f t="shared" ref="I27:I35" si="16">TEXT("2026-07-20","YYYY-MM-DD")</f>
        <v>2026-07-20</v>
      </c>
      <c r="J27">
        <v>3</v>
      </c>
      <c r="K27" t="s">
        <v>11</v>
      </c>
    </row>
    <row r="28" spans="1:11" x14ac:dyDescent="0.35">
      <c r="A28" t="s">
        <v>46</v>
      </c>
      <c r="B28" t="s">
        <v>85</v>
      </c>
      <c r="D28">
        <v>161</v>
      </c>
      <c r="E28">
        <v>5</v>
      </c>
      <c r="F28" t="s">
        <v>13</v>
      </c>
      <c r="G28">
        <v>15</v>
      </c>
      <c r="H28" t="str">
        <f t="shared" ref="H28:H32" si="17">TEXT("2025-08-20","YYYY-MM-DD")</f>
        <v>2025-08-20</v>
      </c>
      <c r="I28" t="str">
        <f t="shared" si="16"/>
        <v>2026-07-20</v>
      </c>
      <c r="J28">
        <v>1</v>
      </c>
      <c r="K28" t="s">
        <v>11</v>
      </c>
    </row>
    <row r="29" spans="1:11" x14ac:dyDescent="0.35">
      <c r="A29" t="s">
        <v>47</v>
      </c>
      <c r="B29" t="s">
        <v>86</v>
      </c>
      <c r="D29">
        <v>3000</v>
      </c>
      <c r="E29">
        <v>5</v>
      </c>
      <c r="F29" t="s">
        <v>19</v>
      </c>
      <c r="G29">
        <v>5</v>
      </c>
      <c r="H29" t="str">
        <f t="shared" si="17"/>
        <v>2025-08-20</v>
      </c>
      <c r="I29" t="str">
        <f t="shared" si="16"/>
        <v>2026-07-20</v>
      </c>
      <c r="J29">
        <v>5</v>
      </c>
      <c r="K29" t="s">
        <v>11</v>
      </c>
    </row>
    <row r="30" spans="1:11" x14ac:dyDescent="0.35">
      <c r="A30" t="s">
        <v>48</v>
      </c>
      <c r="B30" t="s">
        <v>100</v>
      </c>
      <c r="D30">
        <v>300</v>
      </c>
      <c r="E30">
        <v>5</v>
      </c>
      <c r="F30" t="s">
        <v>15</v>
      </c>
      <c r="G30">
        <v>7</v>
      </c>
      <c r="H30" t="str">
        <f t="shared" si="17"/>
        <v>2025-08-20</v>
      </c>
      <c r="I30" t="str">
        <f t="shared" si="16"/>
        <v>2026-07-20</v>
      </c>
      <c r="J30">
        <v>4</v>
      </c>
      <c r="K30" t="s">
        <v>11</v>
      </c>
    </row>
    <row r="31" spans="1:11" x14ac:dyDescent="0.35">
      <c r="A31" t="s">
        <v>49</v>
      </c>
      <c r="B31" t="s">
        <v>87</v>
      </c>
      <c r="D31">
        <v>50</v>
      </c>
      <c r="E31">
        <v>5</v>
      </c>
      <c r="F31" t="s">
        <v>16</v>
      </c>
      <c r="G31">
        <v>5</v>
      </c>
      <c r="H31" t="str">
        <f t="shared" si="17"/>
        <v>2025-08-20</v>
      </c>
      <c r="I31" t="str">
        <f t="shared" si="16"/>
        <v>2026-07-20</v>
      </c>
      <c r="J31">
        <v>2</v>
      </c>
      <c r="K31" t="s">
        <v>11</v>
      </c>
    </row>
    <row r="32" spans="1:11" x14ac:dyDescent="0.35">
      <c r="A32" t="s">
        <v>50</v>
      </c>
      <c r="B32" t="s">
        <v>88</v>
      </c>
      <c r="D32">
        <v>1000</v>
      </c>
      <c r="E32">
        <v>5</v>
      </c>
      <c r="F32" t="s">
        <v>18</v>
      </c>
      <c r="G32">
        <v>5</v>
      </c>
      <c r="H32" t="str">
        <f t="shared" si="17"/>
        <v>2025-08-20</v>
      </c>
      <c r="I32" t="str">
        <f t="shared" si="16"/>
        <v>2026-07-20</v>
      </c>
      <c r="J32">
        <v>13</v>
      </c>
      <c r="K32" t="s">
        <v>12</v>
      </c>
    </row>
    <row r="33" spans="1:11" x14ac:dyDescent="0.35">
      <c r="A33" t="s">
        <v>51</v>
      </c>
      <c r="B33" t="s">
        <v>89</v>
      </c>
      <c r="D33">
        <v>2000</v>
      </c>
      <c r="E33">
        <v>5</v>
      </c>
      <c r="F33" t="s">
        <v>19</v>
      </c>
      <c r="G33">
        <v>6</v>
      </c>
      <c r="H33" t="str">
        <f>TEXT("2025-12-20","YYYY-MM-DD")</f>
        <v>2025-12-20</v>
      </c>
      <c r="I33" t="str">
        <f t="shared" si="16"/>
        <v>2026-07-20</v>
      </c>
      <c r="J33">
        <v>3</v>
      </c>
      <c r="K33" t="s">
        <v>11</v>
      </c>
    </row>
    <row r="34" spans="1:11" x14ac:dyDescent="0.35">
      <c r="A34" t="s">
        <v>52</v>
      </c>
      <c r="B34" t="s">
        <v>90</v>
      </c>
      <c r="D34">
        <v>20020</v>
      </c>
      <c r="E34">
        <v>5</v>
      </c>
      <c r="F34" t="s">
        <v>14</v>
      </c>
      <c r="G34">
        <v>10</v>
      </c>
      <c r="H34" t="str">
        <f t="shared" ref="H34:H35" si="18">TEXT("2025-12-20","YYYY-MM-DD")</f>
        <v>2025-12-20</v>
      </c>
      <c r="I34" t="str">
        <f t="shared" si="16"/>
        <v>2026-07-20</v>
      </c>
      <c r="J34">
        <v>2</v>
      </c>
      <c r="K34" t="s">
        <v>12</v>
      </c>
    </row>
    <row r="35" spans="1:11" x14ac:dyDescent="0.35">
      <c r="A35" t="s">
        <v>53</v>
      </c>
      <c r="B35" t="s">
        <v>91</v>
      </c>
      <c r="D35">
        <v>50</v>
      </c>
      <c r="E35">
        <v>5</v>
      </c>
      <c r="F35" t="s">
        <v>19</v>
      </c>
      <c r="G35">
        <v>7</v>
      </c>
      <c r="H35" t="str">
        <f t="shared" si="18"/>
        <v>2025-12-20</v>
      </c>
      <c r="I35" t="str">
        <f t="shared" si="16"/>
        <v>2026-07-20</v>
      </c>
      <c r="J35">
        <v>11</v>
      </c>
      <c r="K35" t="s">
        <v>12</v>
      </c>
    </row>
    <row r="36" spans="1:11" x14ac:dyDescent="0.35">
      <c r="A36" t="s">
        <v>54</v>
      </c>
      <c r="B36" t="s">
        <v>92</v>
      </c>
      <c r="D36">
        <v>2000</v>
      </c>
      <c r="E36">
        <v>5</v>
      </c>
      <c r="F36" t="s">
        <v>19</v>
      </c>
      <c r="G36">
        <v>6</v>
      </c>
      <c r="H36" t="str">
        <f>TEXT("2025-12-20","YYYY-MM-DD")</f>
        <v>2025-12-20</v>
      </c>
      <c r="I36" t="str">
        <f t="shared" ref="I36:I41" si="19">TEXT("2026-07-20","YYYY-MM-DD")</f>
        <v>2026-07-20</v>
      </c>
      <c r="J36">
        <v>3</v>
      </c>
      <c r="K36" t="s">
        <v>11</v>
      </c>
    </row>
    <row r="37" spans="1:11" x14ac:dyDescent="0.35">
      <c r="A37" t="s">
        <v>55</v>
      </c>
      <c r="B37" t="s">
        <v>93</v>
      </c>
      <c r="D37">
        <v>100</v>
      </c>
      <c r="E37">
        <v>5</v>
      </c>
      <c r="F37" t="s">
        <v>19</v>
      </c>
      <c r="G37">
        <v>10</v>
      </c>
      <c r="H37" t="str">
        <f t="shared" ref="H37:H39" si="20">TEXT("2025-12-20","YYYY-MM-DD")</f>
        <v>2025-12-20</v>
      </c>
      <c r="I37" t="str">
        <f t="shared" si="19"/>
        <v>2026-07-20</v>
      </c>
      <c r="J37">
        <v>3</v>
      </c>
      <c r="K37" t="s">
        <v>11</v>
      </c>
    </row>
    <row r="38" spans="1:11" x14ac:dyDescent="0.35">
      <c r="A38" t="s">
        <v>56</v>
      </c>
      <c r="B38" t="s">
        <v>94</v>
      </c>
      <c r="D38">
        <v>500</v>
      </c>
      <c r="E38">
        <v>5</v>
      </c>
      <c r="F38" t="s">
        <v>15</v>
      </c>
      <c r="G38">
        <v>13</v>
      </c>
      <c r="H38" t="str">
        <f t="shared" si="20"/>
        <v>2025-12-20</v>
      </c>
      <c r="I38" t="str">
        <f t="shared" si="19"/>
        <v>2026-07-20</v>
      </c>
      <c r="J38">
        <v>11</v>
      </c>
      <c r="K38" t="s">
        <v>12</v>
      </c>
    </row>
    <row r="39" spans="1:11" x14ac:dyDescent="0.35">
      <c r="A39" t="s">
        <v>57</v>
      </c>
      <c r="B39" t="s">
        <v>95</v>
      </c>
      <c r="D39">
        <v>600</v>
      </c>
      <c r="E39">
        <v>5</v>
      </c>
      <c r="F39" t="s">
        <v>16</v>
      </c>
      <c r="G39">
        <v>5</v>
      </c>
      <c r="H39" t="str">
        <f t="shared" si="20"/>
        <v>2025-12-20</v>
      </c>
      <c r="I39" t="str">
        <f t="shared" si="19"/>
        <v>2026-07-20</v>
      </c>
      <c r="J39">
        <v>2</v>
      </c>
      <c r="K39" t="s">
        <v>11</v>
      </c>
    </row>
    <row r="40" spans="1:11" x14ac:dyDescent="0.35">
      <c r="A40" t="s">
        <v>58</v>
      </c>
      <c r="B40" t="s">
        <v>96</v>
      </c>
      <c r="D40">
        <v>2000</v>
      </c>
      <c r="E40">
        <v>5</v>
      </c>
      <c r="F40" t="s">
        <v>18</v>
      </c>
      <c r="G40">
        <v>10</v>
      </c>
      <c r="H40" t="str">
        <f>TEXT("2025-05-20","YYYY-MM-DD")</f>
        <v>2025-05-20</v>
      </c>
      <c r="I40" t="str">
        <f t="shared" si="19"/>
        <v>2026-07-20</v>
      </c>
      <c r="J40">
        <v>2</v>
      </c>
      <c r="K40" t="s">
        <v>12</v>
      </c>
    </row>
    <row r="41" spans="1:11" x14ac:dyDescent="0.35">
      <c r="A41" t="s">
        <v>59</v>
      </c>
      <c r="B41" t="s">
        <v>97</v>
      </c>
      <c r="D41">
        <v>2000</v>
      </c>
      <c r="E41">
        <v>5</v>
      </c>
      <c r="F41" t="s">
        <v>19</v>
      </c>
      <c r="G41">
        <v>10</v>
      </c>
      <c r="H41" t="str">
        <f t="shared" ref="H41" si="21">TEXT("2025-08-20","YYYY-MM-DD")</f>
        <v>2025-08-20</v>
      </c>
      <c r="I41" t="str">
        <f t="shared" si="19"/>
        <v>2026-07-20</v>
      </c>
      <c r="J41">
        <v>3</v>
      </c>
      <c r="K4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2025-06-18T16:46:20Z</dcterms:created>
  <dcterms:modified xsi:type="dcterms:W3CDTF">2025-12-24T11:48:36Z</dcterms:modified>
</cp:coreProperties>
</file>